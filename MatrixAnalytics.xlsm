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830" codeName="{861861EC-F77C-3E69-5087-FD670AB338C4}"/>
  <workbookPr codeName="ThisWorkbook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bookViews>
    <workbookView xWindow="0" yWindow="0" windowWidth="20496" windowHeight="7752" activeTab="1"/>
  </bookViews>
  <sheets>
    <sheet name="Example Steps" sheetId="3" r:id="rId1"/>
    <sheet name="Example Matrix Functions" sheetId="1" r:id="rId2"/>
    <sheet name="Illustration of Householder" sheetId="2" r:id="rId3"/>
    <sheet name="2D Example" sheetId="4" r:id="rId4"/>
  </sheets>
  <functionGroups builtInGroupCount="18"/>
  <definedNames>
    <definedName name="MA">'2D Example'!$L$11</definedName>
    <definedName name="MB">'2D Example'!$N$11</definedName>
    <definedName name="mycos">'2D Example'!$L$19</definedName>
    <definedName name="xmean">'2D Example'!$A$12</definedName>
    <definedName name="ymean">'2D Example'!$B$12</definedName>
  </definedNames>
  <calcPr calcId="171026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5" i="4" l="1"/>
  <c r="A12" i="4"/>
  <c r="A20" i="4"/>
  <c r="B12" i="4"/>
  <c r="B14" i="4"/>
  <c r="B17" i="4"/>
  <c r="B21" i="4"/>
  <c r="B20" i="4"/>
  <c r="B16" i="4"/>
  <c r="B13" i="4"/>
  <c r="B19" i="4"/>
  <c r="B15" i="4"/>
  <c r="B22" i="4"/>
  <c r="B18" i="4"/>
  <c r="A21" i="4"/>
  <c r="A22" i="4"/>
  <c r="A13" i="4"/>
  <c r="A14" i="4"/>
  <c r="A17" i="4"/>
  <c r="A18" i="4"/>
  <c r="A19" i="4"/>
  <c r="A15" i="4"/>
  <c r="A16" i="4"/>
  <c r="C14" i="3"/>
  <c r="B14" i="3"/>
  <c r="A14" i="3"/>
  <c r="C13" i="3"/>
  <c r="B13" i="3"/>
  <c r="A13" i="3"/>
  <c r="G17" i="1" a="1"/>
  <c r="G18" i="1"/>
  <c r="G12" i="1" a="1"/>
  <c r="G12" i="1"/>
  <c r="G19" i="1"/>
  <c r="G17" i="1"/>
  <c r="H14" i="1"/>
  <c r="G13" i="1"/>
  <c r="I12" i="1"/>
  <c r="I13" i="1"/>
  <c r="H12" i="1"/>
  <c r="G14" i="1"/>
  <c r="I14" i="1"/>
  <c r="H13" i="1"/>
  <c r="D2" i="2" a="1"/>
  <c r="E3" i="3" a="1"/>
  <c r="E2" i="1" a="1"/>
  <c r="I2" i="1" a="1"/>
  <c r="E8" i="1" a="1"/>
  <c r="E10" i="3" a="1"/>
  <c r="D7" i="2" a="1"/>
  <c r="I17" i="1" a="1"/>
  <c r="K12" i="1" a="1"/>
  <c r="D2" i="4" a="1"/>
  <c r="D12" i="2" a="1"/>
  <c r="J2" i="2" a="1"/>
  <c r="K4" i="2" l="1"/>
  <c r="L2" i="2"/>
  <c r="J3" i="2"/>
  <c r="J4" i="2"/>
  <c r="L3" i="2"/>
  <c r="J2" i="2"/>
  <c r="K2" i="2"/>
  <c r="K3" i="2"/>
  <c r="L4" i="2"/>
  <c r="K12" i="2"/>
  <c r="I14" i="2"/>
  <c r="G13" i="2"/>
  <c r="E12" i="2"/>
  <c r="L13" i="2"/>
  <c r="J12" i="2"/>
  <c r="H14" i="2"/>
  <c r="F13" i="2"/>
  <c r="D12" i="2"/>
  <c r="K13" i="2"/>
  <c r="I12" i="2"/>
  <c r="G14" i="2"/>
  <c r="E13" i="2"/>
  <c r="L14" i="2"/>
  <c r="G12" i="2"/>
  <c r="L12" i="2"/>
  <c r="H13" i="2"/>
  <c r="D14" i="2"/>
  <c r="J13" i="2"/>
  <c r="F14" i="2"/>
  <c r="K14" i="2"/>
  <c r="E14" i="2"/>
  <c r="J14" i="2"/>
  <c r="F12" i="2"/>
  <c r="H12" i="2"/>
  <c r="D13" i="2"/>
  <c r="I13" i="2"/>
  <c r="F4" i="4"/>
  <c r="D4" i="4"/>
  <c r="E2" i="4"/>
  <c r="D3" i="4"/>
  <c r="E3" i="4"/>
  <c r="F3" i="4"/>
  <c r="F2" i="4"/>
  <c r="D2" i="4"/>
  <c r="E4" i="4"/>
  <c r="K12" i="1"/>
  <c r="M13" i="1"/>
  <c r="L14" i="1"/>
  <c r="L13" i="1"/>
  <c r="M12" i="1"/>
  <c r="L12" i="1"/>
  <c r="K14" i="1"/>
  <c r="K13" i="1"/>
  <c r="M14" i="1"/>
  <c r="I17" i="1"/>
  <c r="I18" i="1"/>
  <c r="I19" i="1"/>
  <c r="G8" i="2"/>
  <c r="J7" i="2"/>
  <c r="I9" i="2"/>
  <c r="H8" i="2"/>
  <c r="F7" i="2"/>
  <c r="G7" i="2"/>
  <c r="D7" i="2"/>
  <c r="K8" i="2"/>
  <c r="D9" i="2"/>
  <c r="E7" i="2"/>
  <c r="L8" i="2"/>
  <c r="E8" i="2"/>
  <c r="K7" i="2"/>
  <c r="H7" i="2"/>
  <c r="F9" i="2"/>
  <c r="J9" i="2"/>
  <c r="D8" i="2"/>
  <c r="H9" i="2"/>
  <c r="L9" i="2"/>
  <c r="G9" i="2"/>
  <c r="J8" i="2"/>
  <c r="F8" i="2"/>
  <c r="K9" i="2"/>
  <c r="E9" i="2"/>
  <c r="L7" i="2"/>
  <c r="I7" i="2"/>
  <c r="I8" i="2"/>
  <c r="E13" i="3"/>
  <c r="H13" i="3"/>
  <c r="F13" i="3"/>
  <c r="H12" i="3"/>
  <c r="E10" i="3"/>
  <c r="G11" i="3"/>
  <c r="F10" i="3"/>
  <c r="G10" i="3"/>
  <c r="E12" i="3"/>
  <c r="F12" i="3"/>
  <c r="G13" i="3"/>
  <c r="G12" i="3"/>
  <c r="H11" i="3"/>
  <c r="H10" i="3"/>
  <c r="E11" i="3"/>
  <c r="F11" i="3"/>
  <c r="E9" i="1"/>
  <c r="E10" i="1"/>
  <c r="E8" i="1"/>
  <c r="I2" i="1"/>
  <c r="K3" i="1"/>
  <c r="J3" i="1"/>
  <c r="K2" i="1"/>
  <c r="I3" i="1"/>
  <c r="J4" i="1"/>
  <c r="K4" i="1"/>
  <c r="J2" i="1"/>
  <c r="I4" i="1"/>
  <c r="E3" i="1"/>
  <c r="G4" i="1"/>
  <c r="E4" i="1"/>
  <c r="F4" i="1"/>
  <c r="F2" i="1"/>
  <c r="G2" i="1"/>
  <c r="A6" i="1" s="1"/>
  <c r="E2" i="1"/>
  <c r="F3" i="1"/>
  <c r="G3" i="1"/>
  <c r="E6" i="3"/>
  <c r="F6" i="3"/>
  <c r="G6" i="3"/>
  <c r="H6" i="3"/>
  <c r="E3" i="3"/>
  <c r="F3" i="3"/>
  <c r="G3" i="3"/>
  <c r="H3" i="3"/>
  <c r="E5" i="3"/>
  <c r="G5" i="3"/>
  <c r="F4" i="3"/>
  <c r="H4" i="3"/>
  <c r="F5" i="3"/>
  <c r="H5" i="3"/>
  <c r="E4" i="3"/>
  <c r="G4" i="3"/>
  <c r="I3" i="2"/>
  <c r="F3" i="2"/>
  <c r="I2" i="2"/>
  <c r="F2" i="2"/>
  <c r="G4" i="2"/>
  <c r="D4" i="2"/>
  <c r="G3" i="2"/>
  <c r="D3" i="2"/>
  <c r="H2" i="2"/>
  <c r="I4" i="2"/>
  <c r="G2" i="2"/>
  <c r="H4" i="2"/>
  <c r="H3" i="2"/>
  <c r="E3" i="2"/>
  <c r="E2" i="2"/>
  <c r="F4" i="2"/>
  <c r="D2" i="2"/>
  <c r="E4" i="2"/>
  <c r="M12" i="2" a="1"/>
  <c r="H3" i="4" a="1"/>
  <c r="G8" i="1" a="1"/>
  <c r="M2" i="1" a="1"/>
  <c r="J3" i="3" a="1"/>
  <c r="J4" i="3" l="1"/>
  <c r="P3" i="3"/>
  <c r="N4" i="3"/>
  <c r="K11" i="3" s="1"/>
  <c r="Q5" i="3"/>
  <c r="O4" i="3"/>
  <c r="J5" i="3"/>
  <c r="L3" i="3"/>
  <c r="K4" i="3"/>
  <c r="M3" i="3"/>
  <c r="K10" i="3" s="1"/>
  <c r="L10" i="3" s="1"/>
  <c r="J3" i="3"/>
  <c r="N5" i="3"/>
  <c r="N3" i="3"/>
  <c r="R5" i="3"/>
  <c r="K3" i="3"/>
  <c r="P4" i="3"/>
  <c r="L4" i="3"/>
  <c r="Q4" i="3"/>
  <c r="R3" i="3"/>
  <c r="L5" i="3"/>
  <c r="K5" i="3"/>
  <c r="O5" i="3"/>
  <c r="K12" i="3" s="1"/>
  <c r="Q3" i="3"/>
  <c r="R4" i="3"/>
  <c r="M5" i="3"/>
  <c r="O3" i="3"/>
  <c r="P5" i="3"/>
  <c r="M4" i="3"/>
  <c r="M2" i="1"/>
  <c r="N3" i="1"/>
  <c r="M3" i="1"/>
  <c r="N2" i="1"/>
  <c r="O3" i="1"/>
  <c r="O4" i="1"/>
  <c r="O2" i="1"/>
  <c r="M4" i="1"/>
  <c r="N4" i="1"/>
  <c r="H8" i="1"/>
  <c r="I8" i="1"/>
  <c r="G8" i="1"/>
  <c r="M3" i="4"/>
  <c r="J3" i="4"/>
  <c r="K3" i="4"/>
  <c r="K4" i="4"/>
  <c r="H4" i="4"/>
  <c r="I4" i="4"/>
  <c r="M4" i="4"/>
  <c r="H3" i="4"/>
  <c r="I3" i="4"/>
  <c r="L4" i="4"/>
  <c r="J4" i="4"/>
  <c r="L3" i="4"/>
  <c r="O12" i="2"/>
  <c r="M13" i="2"/>
  <c r="O14" i="2"/>
  <c r="O13" i="2"/>
  <c r="N12" i="2"/>
  <c r="N13" i="2"/>
  <c r="M12" i="2"/>
  <c r="M14" i="2"/>
  <c r="N14" i="2"/>
  <c r="S3" i="3" a="1"/>
  <c r="H23" i="4" a="1"/>
  <c r="L10" i="4" a="1"/>
  <c r="N10" i="4" a="1"/>
  <c r="A24" i="4" a="1"/>
  <c r="P9" i="3" l="1"/>
  <c r="L12" i="3"/>
  <c r="L11" i="3"/>
  <c r="A26" i="4"/>
  <c r="A32" i="4"/>
  <c r="A30" i="4"/>
  <c r="A29" i="4"/>
  <c r="A24" i="4"/>
  <c r="B29" i="4"/>
  <c r="B26" i="4"/>
  <c r="A27" i="4"/>
  <c r="B32" i="4"/>
  <c r="A31" i="4"/>
  <c r="B30" i="4"/>
  <c r="B27" i="4"/>
  <c r="B24" i="4"/>
  <c r="A25" i="4"/>
  <c r="B31" i="4"/>
  <c r="B25" i="4"/>
  <c r="B28" i="4"/>
  <c r="A28" i="4"/>
  <c r="N10" i="4"/>
  <c r="O10" i="4"/>
  <c r="L10" i="4"/>
  <c r="M10" i="4"/>
  <c r="H24" i="4"/>
  <c r="H23" i="4"/>
  <c r="I24" i="4"/>
  <c r="I23" i="4"/>
  <c r="T5" i="3"/>
  <c r="U5" i="3"/>
  <c r="T3" i="3"/>
  <c r="S3" i="3"/>
  <c r="S4" i="3"/>
  <c r="T4" i="3"/>
  <c r="U3" i="3"/>
  <c r="U4" i="3"/>
  <c r="S5" i="3"/>
  <c r="M15" i="4" l="1"/>
  <c r="M16" i="4" l="1"/>
  <c r="L17" i="4"/>
  <c r="M17" i="4"/>
  <c r="L16" i="4"/>
  <c r="C25" i="4" a="1"/>
  <c r="C27" i="4" a="1"/>
  <c r="C31" i="4" a="1"/>
  <c r="C30" i="4" a="1"/>
  <c r="C26" i="4" a="1"/>
  <c r="C29" i="4" a="1"/>
  <c r="C28" i="4" a="1"/>
  <c r="C24" i="4" a="1"/>
  <c r="C32" i="4" a="1"/>
  <c r="C32" i="4" l="1"/>
  <c r="D32" i="4"/>
  <c r="C24" i="4"/>
  <c r="D24" i="4"/>
  <c r="D28" i="4"/>
  <c r="C28" i="4"/>
  <c r="C29" i="4"/>
  <c r="D29" i="4"/>
  <c r="D26" i="4"/>
  <c r="C26" i="4"/>
  <c r="C30" i="4"/>
  <c r="D30" i="4"/>
  <c r="C31" i="4"/>
  <c r="D31" i="4"/>
  <c r="D27" i="4"/>
  <c r="C27" i="4"/>
  <c r="D25" i="4"/>
  <c r="C25" i="4"/>
</calcChain>
</file>

<file path=xl/comments1.xml><?xml version="1.0" encoding="utf-8"?>
<comments xmlns="http://schemas.openxmlformats.org/spreadsheetml/2006/main">
  <authors>
    <author>Nick Flor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Nick Flor:</t>
        </r>
        <r>
          <rPr>
            <sz val="9"/>
            <color indexed="81"/>
            <rFont val="Tahoma"/>
            <family val="2"/>
          </rPr>
          <t xml:space="preserve">
http://www.itl.nist.gov/div898/handbook/pmc/section5/pmc552.htm</t>
        </r>
      </text>
    </comment>
  </commentList>
</comments>
</file>

<file path=xl/sharedStrings.xml><?xml version="1.0" encoding="utf-8"?>
<sst xmlns="http://schemas.openxmlformats.org/spreadsheetml/2006/main" count="41" uniqueCount="33">
  <si>
    <t>Step 1. Enter Table Data</t>
  </si>
  <si>
    <t>Step 2. Call pfCorrelation w/ N+1 Square</t>
  </si>
  <si>
    <t>Step 3.  Call pfHouseholderIterate on Correlation Matrix w/ 3NxN Rectangle Output</t>
  </si>
  <si>
    <t>Thickness</t>
  </si>
  <si>
    <t>Hdisp</t>
  </si>
  <si>
    <t>Vdisp</t>
  </si>
  <si>
    <t>Q</t>
  </si>
  <si>
    <t>R (Eigenvalues)</t>
  </si>
  <si>
    <t>Eigenvectors</t>
  </si>
  <si>
    <t>A=Q*R</t>
  </si>
  <si>
    <t>Factor Loadings</t>
  </si>
  <si>
    <t>Note: Sum of the diagonal eigenvalues = 3 (1.77+.93+.30)</t>
  </si>
  <si>
    <t>or Step 2. Call pfCovariance w/N+1 Square</t>
  </si>
  <si>
    <t>Note: Magnitude of all eigenvectors is 1</t>
  </si>
  <si>
    <t>Note: Dot product of eigenvectors is 0</t>
  </si>
  <si>
    <t>Variance 1</t>
  </si>
  <si>
    <t>Variance 2</t>
  </si>
  <si>
    <t>Variance 3</t>
  </si>
  <si>
    <t>Test Matrix</t>
  </si>
  <si>
    <t>pfmTrans</t>
  </si>
  <si>
    <t>pfmInverse</t>
  </si>
  <si>
    <t>pfmMult</t>
  </si>
  <si>
    <t>A</t>
  </si>
  <si>
    <t>R</t>
  </si>
  <si>
    <t>Q*R=A</t>
  </si>
  <si>
    <t>x</t>
  </si>
  <si>
    <t>y</t>
  </si>
  <si>
    <t>Eigenvalues</t>
  </si>
  <si>
    <t>Eigenvector 1</t>
  </si>
  <si>
    <t>Eigenvector 2</t>
  </si>
  <si>
    <t>angle</t>
  </si>
  <si>
    <t>Transformed</t>
  </si>
  <si>
    <t>Rotated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</si>
</sst>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1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theme="1"/>
      <name val="MathJax_Main-Web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5"/>
      <color theme="3"/>
      <name val="Calibri"/>
      <family val="2"/>
      <scheme val="minor"/>
    </font>
    <font>
      <sz val="11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 style="medium">
        <color indexed="64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thin">
        <color rgb="FF3F3F3F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0" fontId="1" fillId="4" borderId="0" applyNumberFormat="0" applyBorder="0" applyAlignment="0" applyProtection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12" fillId="0" borderId="40" applyNumberFormat="0" applyFill="0" applyAlignment="0" applyProtection="0"/>
    <xf numFmtId="9" fontId="1" fillId="0" borderId="0" applyFont="0" applyFill="0" applyBorder="0" applyAlignment="0" applyProtection="0"/>
    <xf numFmtId="0" fontId="13" fillId="7" borderId="0" applyNumberFormat="0" applyBorder="0" applyAlignment="0" applyProtection="0"/>
  </cellStyleXfs>
  <cellXfs count="81">
    <xf numFmtId="0" fontId="0" fillId="0" borderId="0" xfId="0"/>
    <xf numFmtId="0" fontId="2" fillId="2" borderId="1" xfId="2"/>
    <xf numFmtId="43" fontId="0" fillId="0" borderId="0" xfId="1" applyFont="1"/>
    <xf numFmtId="2" fontId="3" fillId="3" borderId="2" xfId="3" applyNumberFormat="1"/>
    <xf numFmtId="2" fontId="4" fillId="3" borderId="1" xfId="4" applyNumberFormat="1"/>
    <xf numFmtId="2" fontId="3" fillId="3" borderId="6" xfId="3" applyNumberFormat="1" applyBorder="1"/>
    <xf numFmtId="0" fontId="5" fillId="4" borderId="5" xfId="5" applyFont="1" applyBorder="1"/>
    <xf numFmtId="2" fontId="6" fillId="5" borderId="0" xfId="6" applyNumberFormat="1"/>
    <xf numFmtId="0" fontId="2" fillId="2" borderId="5" xfId="2" applyBorder="1"/>
    <xf numFmtId="2" fontId="6" fillId="5" borderId="5" xfId="6" applyNumberFormat="1" applyBorder="1"/>
    <xf numFmtId="0" fontId="0" fillId="0" borderId="0" xfId="0" applyAlignment="1"/>
    <xf numFmtId="0" fontId="9" fillId="0" borderId="0" xfId="0" applyFont="1" applyAlignment="1">
      <alignment horizontal="center" vertical="center"/>
    </xf>
    <xf numFmtId="2" fontId="8" fillId="0" borderId="5" xfId="0" applyNumberFormat="1" applyFont="1" applyBorder="1" applyAlignment="1">
      <alignment horizontal="center" vertical="center"/>
    </xf>
    <xf numFmtId="2" fontId="8" fillId="0" borderId="16" xfId="0" applyNumberFormat="1" applyFont="1" applyBorder="1" applyAlignment="1">
      <alignment horizontal="center" vertical="center"/>
    </xf>
    <xf numFmtId="2" fontId="8" fillId="0" borderId="17" xfId="0" applyNumberFormat="1" applyFont="1" applyBorder="1" applyAlignment="1">
      <alignment horizontal="center" vertical="center"/>
    </xf>
    <xf numFmtId="2" fontId="8" fillId="0" borderId="18" xfId="0" applyNumberFormat="1" applyFont="1" applyBorder="1" applyAlignment="1">
      <alignment horizontal="center" vertical="center"/>
    </xf>
    <xf numFmtId="2" fontId="8" fillId="0" borderId="19" xfId="0" applyNumberFormat="1" applyFont="1" applyBorder="1" applyAlignment="1">
      <alignment horizontal="center" vertical="center"/>
    </xf>
    <xf numFmtId="2" fontId="8" fillId="0" borderId="20" xfId="0" applyNumberFormat="1" applyFont="1" applyBorder="1" applyAlignment="1">
      <alignment horizontal="center" vertical="center"/>
    </xf>
    <xf numFmtId="2" fontId="8" fillId="0" borderId="21" xfId="0" applyNumberFormat="1" applyFont="1" applyBorder="1" applyAlignment="1">
      <alignment horizontal="center"/>
    </xf>
    <xf numFmtId="2" fontId="8" fillId="0" borderId="22" xfId="0" applyNumberFormat="1" applyFont="1" applyBorder="1" applyAlignment="1">
      <alignment horizontal="center"/>
    </xf>
    <xf numFmtId="2" fontId="8" fillId="0" borderId="23" xfId="0" applyNumberFormat="1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2" fontId="0" fillId="0" borderId="0" xfId="0" applyNumberFormat="1"/>
    <xf numFmtId="2" fontId="0" fillId="0" borderId="0" xfId="0" applyNumberFormat="1" applyBorder="1"/>
    <xf numFmtId="2" fontId="0" fillId="0" borderId="12" xfId="0" applyNumberFormat="1" applyBorder="1"/>
    <xf numFmtId="2" fontId="0" fillId="0" borderId="14" xfId="0" applyNumberFormat="1" applyBorder="1"/>
    <xf numFmtId="2" fontId="0" fillId="0" borderId="15" xfId="0" applyNumberFormat="1" applyBorder="1"/>
    <xf numFmtId="2" fontId="2" fillId="2" borderId="24" xfId="2" applyNumberFormat="1" applyBorder="1"/>
    <xf numFmtId="2" fontId="2" fillId="2" borderId="25" xfId="2" applyNumberFormat="1" applyBorder="1"/>
    <xf numFmtId="2" fontId="2" fillId="2" borderId="26" xfId="2" applyNumberFormat="1" applyBorder="1"/>
    <xf numFmtId="2" fontId="3" fillId="3" borderId="32" xfId="3" applyNumberFormat="1" applyBorder="1"/>
    <xf numFmtId="2" fontId="3" fillId="3" borderId="33" xfId="3" applyNumberFormat="1" applyBorder="1"/>
    <xf numFmtId="2" fontId="3" fillId="3" borderId="34" xfId="3" applyNumberFormat="1" applyBorder="1"/>
    <xf numFmtId="2" fontId="2" fillId="2" borderId="27" xfId="2" applyNumberFormat="1" applyBorder="1"/>
    <xf numFmtId="2" fontId="2" fillId="2" borderId="1" xfId="2" applyNumberFormat="1" applyBorder="1"/>
    <xf numFmtId="2" fontId="2" fillId="2" borderId="28" xfId="2" applyNumberFormat="1" applyBorder="1"/>
    <xf numFmtId="2" fontId="3" fillId="3" borderId="35" xfId="3" applyNumberFormat="1" applyBorder="1"/>
    <xf numFmtId="2" fontId="3" fillId="3" borderId="2" xfId="3" applyNumberFormat="1" applyBorder="1"/>
    <xf numFmtId="2" fontId="3" fillId="3" borderId="36" xfId="3" applyNumberFormat="1" applyBorder="1"/>
    <xf numFmtId="2" fontId="2" fillId="2" borderId="29" xfId="2" applyNumberFormat="1" applyBorder="1"/>
    <xf numFmtId="2" fontId="2" fillId="2" borderId="30" xfId="2" applyNumberFormat="1" applyBorder="1"/>
    <xf numFmtId="2" fontId="2" fillId="2" borderId="31" xfId="2" applyNumberFormat="1" applyBorder="1"/>
    <xf numFmtId="2" fontId="3" fillId="3" borderId="37" xfId="3" applyNumberFormat="1" applyBorder="1"/>
    <xf numFmtId="2" fontId="3" fillId="3" borderId="38" xfId="3" applyNumberFormat="1" applyBorder="1"/>
    <xf numFmtId="2" fontId="3" fillId="3" borderId="39" xfId="3" applyNumberFormat="1" applyBorder="1"/>
    <xf numFmtId="2" fontId="7" fillId="6" borderId="8" xfId="7" applyNumberFormat="1" applyBorder="1"/>
    <xf numFmtId="2" fontId="7" fillId="6" borderId="9" xfId="7" applyNumberFormat="1" applyBorder="1"/>
    <xf numFmtId="2" fontId="7" fillId="6" borderId="10" xfId="7" applyNumberFormat="1" applyBorder="1"/>
    <xf numFmtId="2" fontId="7" fillId="6" borderId="11" xfId="7" applyNumberFormat="1" applyBorder="1"/>
    <xf numFmtId="2" fontId="7" fillId="6" borderId="0" xfId="7" applyNumberFormat="1" applyBorder="1"/>
    <xf numFmtId="2" fontId="7" fillId="6" borderId="12" xfId="7" applyNumberFormat="1" applyBorder="1"/>
    <xf numFmtId="2" fontId="7" fillId="6" borderId="13" xfId="7" applyNumberFormat="1" applyBorder="1"/>
    <xf numFmtId="2" fontId="7" fillId="6" borderId="14" xfId="7" applyNumberFormat="1" applyBorder="1"/>
    <xf numFmtId="2" fontId="7" fillId="6" borderId="15" xfId="7" applyNumberFormat="1" applyBorder="1"/>
    <xf numFmtId="0" fontId="5" fillId="0" borderId="9" xfId="0" applyFont="1" applyBorder="1" applyAlignment="1">
      <alignment horizontal="center"/>
    </xf>
    <xf numFmtId="0" fontId="5" fillId="0" borderId="10" xfId="0" applyFont="1" applyBorder="1" applyAlignment="1">
      <alignment horizontal="center"/>
    </xf>
    <xf numFmtId="0" fontId="5" fillId="0" borderId="11" xfId="0" applyFont="1" applyBorder="1"/>
    <xf numFmtId="0" fontId="5" fillId="0" borderId="13" xfId="0" applyFont="1" applyBorder="1"/>
    <xf numFmtId="0" fontId="5" fillId="0" borderId="0" xfId="0" applyFont="1" applyAlignment="1"/>
    <xf numFmtId="2" fontId="0" fillId="0" borderId="0" xfId="1" applyNumberFormat="1" applyFont="1"/>
    <xf numFmtId="0" fontId="7" fillId="6" borderId="0" xfId="7"/>
    <xf numFmtId="0" fontId="0" fillId="0" borderId="0" xfId="0" applyFill="1" applyBorder="1" applyAlignment="1"/>
    <xf numFmtId="9" fontId="0" fillId="0" borderId="0" xfId="9" applyFont="1"/>
    <xf numFmtId="9" fontId="0" fillId="0" borderId="0" xfId="0" applyNumberFormat="1"/>
    <xf numFmtId="0" fontId="5" fillId="0" borderId="0" xfId="0" applyFont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40" xfId="8" applyAlignment="1">
      <alignment horizontal="center"/>
    </xf>
    <xf numFmtId="0" fontId="0" fillId="0" borderId="0" xfId="0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3" fillId="7" borderId="0" xfId="10" applyAlignment="1">
      <alignment horizontal="center"/>
    </xf>
  </cellXfs>
  <cellStyles count="11">
    <cellStyle name="40% - Accent6" xfId="5" builtinId="51"/>
    <cellStyle name="Accent1" xfId="10" builtinId="29"/>
    <cellStyle name="Calculation" xfId="4" builtinId="22"/>
    <cellStyle name="Comma" xfId="1" builtinId="3"/>
    <cellStyle name="Good" xfId="6" builtinId="26"/>
    <cellStyle name="Heading 1" xfId="8" builtinId="16"/>
    <cellStyle name="Input" xfId="2" builtinId="20"/>
    <cellStyle name="Neutral" xfId="7" builtinId="28"/>
    <cellStyle name="Normal" xfId="0" builtinId="0"/>
    <cellStyle name="Output" xfId="3" builtinId="21"/>
    <cellStyle name="Percent" xfId="9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Transposed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'2D Example'!$A$13:$A$22</c:f>
              <c:numCache>
                <c:formatCode>General</c:formatCode>
                <c:ptCount val="10"/>
                <c:pt idx="0">
                  <c:v>0.69</c:v>
                </c:pt>
                <c:pt idx="1">
                  <c:v>-1.31</c:v>
                </c:pt>
                <c:pt idx="2">
                  <c:v>0.39000000000000012</c:v>
                </c:pt>
                <c:pt idx="3">
                  <c:v>8.9999999999999858E-2</c:v>
                </c:pt>
                <c:pt idx="4">
                  <c:v>1.29</c:v>
                </c:pt>
                <c:pt idx="5">
                  <c:v>0.48999999999999977</c:v>
                </c:pt>
                <c:pt idx="6">
                  <c:v>0.18999999999999995</c:v>
                </c:pt>
                <c:pt idx="7">
                  <c:v>-0.81</c:v>
                </c:pt>
                <c:pt idx="8">
                  <c:v>-0.31000000000000005</c:v>
                </c:pt>
                <c:pt idx="9">
                  <c:v>-0.71</c:v>
                </c:pt>
              </c:numCache>
            </c:numRef>
          </c:xVal>
          <c:yVal>
            <c:numRef>
              <c:f>'2D Example'!$B$13:$B$22</c:f>
              <c:numCache>
                <c:formatCode>General</c:formatCode>
                <c:ptCount val="10"/>
                <c:pt idx="0">
                  <c:v>0.49000000000000021</c:v>
                </c:pt>
                <c:pt idx="1">
                  <c:v>-1.2099999999999997</c:v>
                </c:pt>
                <c:pt idx="2">
                  <c:v>0.99000000000000021</c:v>
                </c:pt>
                <c:pt idx="3">
                  <c:v>0.29000000000000048</c:v>
                </c:pt>
                <c:pt idx="4">
                  <c:v>1.0900000000000003</c:v>
                </c:pt>
                <c:pt idx="5">
                  <c:v>0.79000000000000048</c:v>
                </c:pt>
                <c:pt idx="6">
                  <c:v>-0.30999999999999961</c:v>
                </c:pt>
                <c:pt idx="7">
                  <c:v>-0.80999999999999961</c:v>
                </c:pt>
                <c:pt idx="8">
                  <c:v>-0.30999999999999961</c:v>
                </c:pt>
                <c:pt idx="9">
                  <c:v>-1.0099999999999998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40-496B-8EE2-E0DDE2D0C30F}"/>
            </c:ext>
          </c:extLst>
        </c:ser>
        <c:ser>
          <c:idx val="2"/>
          <c:order val="2"/>
          <c:tx>
            <c:v>EigenVector1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'2D Example'!$L$9:$L$10</c:f>
              <c:numCache>
                <c:formatCode>General</c:formatCode>
                <c:ptCount val="2"/>
                <c:pt idx="0">
                  <c:v>0</c:v>
                </c:pt>
                <c:pt idx="1">
                  <c:v>0.70815192430314056</c:v>
                </c:pt>
              </c:numCache>
            </c:numRef>
          </c:xVal>
          <c:yVal>
            <c:numRef>
              <c:f>'2D Example'!$M$9:$M$10</c:f>
              <c:numCache>
                <c:formatCode>General</c:formatCode>
                <c:ptCount val="2"/>
                <c:pt idx="0">
                  <c:v>0</c:v>
                </c:pt>
                <c:pt idx="1">
                  <c:v>0.7060600910020044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40-496B-8EE2-E0DDE2D0C30F}"/>
            </c:ext>
          </c:extLst>
        </c:ser>
        <c:ser>
          <c:idx val="3"/>
          <c:order val="3"/>
          <c:tx>
            <c:v>Eigenvector2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'2D Example'!$N$9:$N$10</c:f>
              <c:numCache>
                <c:formatCode>General</c:formatCode>
                <c:ptCount val="2"/>
                <c:pt idx="0">
                  <c:v>0</c:v>
                </c:pt>
                <c:pt idx="1">
                  <c:v>-0.70606009100200484</c:v>
                </c:pt>
              </c:numCache>
            </c:numRef>
          </c:xVal>
          <c:yVal>
            <c:numRef>
              <c:f>'2D Example'!$O$9:$O$10</c:f>
              <c:numCache>
                <c:formatCode>General</c:formatCode>
                <c:ptCount val="2"/>
                <c:pt idx="0">
                  <c:v>0</c:v>
                </c:pt>
                <c:pt idx="1">
                  <c:v>0.70815192430314033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40-496B-8EE2-E0DDE2D0C30F}"/>
            </c:ext>
          </c:extLst>
        </c:ser>
        <c:ser>
          <c:idx val="4"/>
          <c:order val="4"/>
          <c:tx>
            <c:v>Transformed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'2D Example'!$A$24:$A$32</c:f>
              <c:numCache>
                <c:formatCode>General</c:formatCode>
                <c:ptCount val="9"/>
                <c:pt idx="0">
                  <c:v>0.83459427236014916</c:v>
                </c:pt>
                <c:pt idx="1">
                  <c:v>-1.7820117309495394</c:v>
                </c:pt>
                <c:pt idx="2">
                  <c:v>0.97517874057020937</c:v>
                </c:pt>
                <c:pt idx="3">
                  <c:v>0.26849109957786416</c:v>
                </c:pt>
                <c:pt idx="4">
                  <c:v>1.6831214815432363</c:v>
                </c:pt>
                <c:pt idx="5">
                  <c:v>0.9047819148001226</c:v>
                </c:pt>
                <c:pt idx="6">
                  <c:v>-8.4329762593024438E-2</c:v>
                </c:pt>
                <c:pt idx="7">
                  <c:v>-1.1455117323971671</c:v>
                </c:pt>
                <c:pt idx="8">
                  <c:v>-0.43840572474459472</c:v>
                </c:pt>
              </c:numCache>
            </c:numRef>
          </c:xVal>
          <c:yVal>
            <c:numRef>
              <c:f>'2D Example'!$B$24:$B$32</c:f>
              <c:numCache>
                <c:formatCode>General</c:formatCode>
                <c:ptCount val="9"/>
                <c:pt idx="0">
                  <c:v>-0.14018701988284438</c:v>
                </c:pt>
                <c:pt idx="1">
                  <c:v>6.8074890805826738E-2</c:v>
                </c:pt>
                <c:pt idx="2">
                  <c:v>0.42570696956932713</c:v>
                </c:pt>
                <c:pt idx="3">
                  <c:v>0.14181864985773068</c:v>
                </c:pt>
                <c:pt idx="4">
                  <c:v>-0.13893191990216314</c:v>
                </c:pt>
                <c:pt idx="5">
                  <c:v>0.21347057560849902</c:v>
                </c:pt>
                <c:pt idx="6">
                  <c:v>-0.35367851382435411</c:v>
                </c:pt>
                <c:pt idx="7">
                  <c:v>-1.6943849739194938E-3</c:v>
                </c:pt>
                <c:pt idx="8">
                  <c:v>-6.4846832335169191E-4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840-496B-8EE2-E0DDE2D0C3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2219264"/>
        <c:axId val="4522224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v>Original</c:v>
                </c:tx>
                <c:spPr>
                  <a:ln w="1905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'2D Example'!$A$2:$A$11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2.5</c:v>
                      </c:pt>
                      <c:pt idx="1">
                        <c:v>0.5</c:v>
                      </c:pt>
                      <c:pt idx="2">
                        <c:v>2.2000000000000002</c:v>
                      </c:pt>
                      <c:pt idx="3">
                        <c:v>1.9</c:v>
                      </c:pt>
                      <c:pt idx="4">
                        <c:v>3.1</c:v>
                      </c:pt>
                      <c:pt idx="5">
                        <c:v>2.2999999999999998</c:v>
                      </c:pt>
                      <c:pt idx="6">
                        <c:v>2</c:v>
                      </c:pt>
                      <c:pt idx="7">
                        <c:v>1</c:v>
                      </c:pt>
                      <c:pt idx="8">
                        <c:v>1.5</c:v>
                      </c:pt>
                      <c:pt idx="9">
                        <c:v>1.1000000000000001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'2D Example'!$B$2:$B$11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2.4</c:v>
                      </c:pt>
                      <c:pt idx="1">
                        <c:v>0.7</c:v>
                      </c:pt>
                      <c:pt idx="2">
                        <c:v>2.9</c:v>
                      </c:pt>
                      <c:pt idx="3">
                        <c:v>2.2000000000000002</c:v>
                      </c:pt>
                      <c:pt idx="4">
                        <c:v>3</c:v>
                      </c:pt>
                      <c:pt idx="5">
                        <c:v>2.7</c:v>
                      </c:pt>
                      <c:pt idx="6">
                        <c:v>1.6</c:v>
                      </c:pt>
                      <c:pt idx="7">
                        <c:v>1.1000000000000001</c:v>
                      </c:pt>
                      <c:pt idx="8">
                        <c:v>1.6</c:v>
                      </c:pt>
                      <c:pt idx="9">
                        <c:v>0.9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4-7840-496B-8EE2-E0DDE2D0C30F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Rotated</c:v>
                </c:tx>
                <c:spPr>
                  <a:ln w="25400" cap="rnd">
                    <a:noFill/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'2D Example'!$D$24:$D$32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0.48999999999999977</c:v>
                      </c:pt>
                      <c:pt idx="1">
                        <c:v>-1.2099999999999991</c:v>
                      </c:pt>
                      <c:pt idx="2">
                        <c:v>0.98999999999999977</c:v>
                      </c:pt>
                      <c:pt idx="3">
                        <c:v>0.29000000000000037</c:v>
                      </c:pt>
                      <c:pt idx="4">
                        <c:v>1.0899999999999994</c:v>
                      </c:pt>
                      <c:pt idx="5">
                        <c:v>0.79</c:v>
                      </c:pt>
                      <c:pt idx="6">
                        <c:v>-0.30999999999999955</c:v>
                      </c:pt>
                      <c:pt idx="7">
                        <c:v>-0.80999999999999905</c:v>
                      </c:pt>
                      <c:pt idx="8">
                        <c:v>-0.30999999999999939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'2D Example'!$C$24:$C$32</c15:sqref>
                        </c15:formulaRef>
                      </c:ext>
                    </c:extLst>
                    <c:numCache>
                      <c:formatCode>General</c:formatCode>
                      <c:ptCount val="9"/>
                      <c:pt idx="0">
                        <c:v>0.69</c:v>
                      </c:pt>
                      <c:pt idx="1">
                        <c:v>-1.3100000000000005</c:v>
                      </c:pt>
                      <c:pt idx="2">
                        <c:v>0.39000000000000024</c:v>
                      </c:pt>
                      <c:pt idx="3">
                        <c:v>8.9999999999999913E-2</c:v>
                      </c:pt>
                      <c:pt idx="4">
                        <c:v>1.2900000000000003</c:v>
                      </c:pt>
                      <c:pt idx="5">
                        <c:v>0.49</c:v>
                      </c:pt>
                      <c:pt idx="6">
                        <c:v>0.18999999999999992</c:v>
                      </c:pt>
                      <c:pt idx="7">
                        <c:v>-0.81000000000000016</c:v>
                      </c:pt>
                      <c:pt idx="8">
                        <c:v>-0.31000000000000016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7840-496B-8EE2-E0DDE2D0C30F}"/>
                  </c:ext>
                </c:extLst>
              </c15:ser>
            </c15:filteredScatterSeries>
          </c:ext>
        </c:extLst>
      </c:scatterChart>
      <c:valAx>
        <c:axId val="452219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22400"/>
        <c:crosses val="autoZero"/>
        <c:crossBetween val="midCat"/>
      </c:valAx>
      <c:valAx>
        <c:axId val="45222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2219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574357</xdr:colOff>
      <xdr:row>5</xdr:row>
      <xdr:rowOff>39051</xdr:rowOff>
    </xdr:from>
    <xdr:to>
      <xdr:col>10</xdr:col>
      <xdr:colOff>534670</xdr:colOff>
      <xdr:row>21</xdr:row>
      <xdr:rowOff>24764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A24"/>
  <sheetViews>
    <sheetView topLeftCell="I1" workbookViewId="0">
      <selection activeCell="Q17" sqref="Q17"/>
    </sheetView>
  </sheetViews>
  <sheetFormatPr defaultRowHeight="14.4"/>
  <cols>
    <col min="8" max="8" width="10.5546875" customWidth="1"/>
    <col min="9" max="9" width="9.33203125" bestFit="1" customWidth="1"/>
    <col min="10" max="10" width="13" bestFit="1" customWidth="1"/>
    <col min="11" max="11" width="9.6640625" bestFit="1" customWidth="1"/>
    <col min="12" max="12" width="12.109375" bestFit="1" customWidth="1"/>
    <col min="13" max="13" width="11.5546875" bestFit="1" customWidth="1"/>
    <col min="14" max="14" width="8.5546875" bestFit="1" customWidth="1"/>
    <col min="15" max="15" width="11.109375" bestFit="1" customWidth="1"/>
    <col min="16" max="18" width="5.5546875" bestFit="1" customWidth="1"/>
    <col min="19" max="21" width="5.33203125" bestFit="1" customWidth="1"/>
  </cols>
  <sheetData>
    <row r="1" spans="1:27">
      <c r="A1" s="72" t="s">
        <v>0</v>
      </c>
      <c r="B1" s="72"/>
      <c r="C1" s="72"/>
      <c r="E1" s="72" t="s">
        <v>1</v>
      </c>
      <c r="F1" s="72"/>
      <c r="G1" s="72"/>
      <c r="H1" s="72"/>
      <c r="J1" s="66" t="s">
        <v>2</v>
      </c>
      <c r="K1" s="66"/>
      <c r="L1" s="66"/>
      <c r="M1" s="66"/>
      <c r="N1" s="66"/>
      <c r="O1" s="66"/>
      <c r="P1" s="66"/>
      <c r="Q1" s="66"/>
      <c r="R1" s="66"/>
    </row>
    <row r="2" spans="1:27" ht="15" thickBot="1">
      <c r="A2" s="11" t="s">
        <v>3</v>
      </c>
      <c r="B2" s="11" t="s">
        <v>4</v>
      </c>
      <c r="C2" s="11" t="s">
        <v>5</v>
      </c>
      <c r="E2" s="25"/>
      <c r="F2" s="25"/>
      <c r="G2" s="25"/>
      <c r="H2" s="25"/>
      <c r="J2" s="72" t="s">
        <v>6</v>
      </c>
      <c r="K2" s="72"/>
      <c r="L2" s="72"/>
      <c r="M2" s="73" t="s">
        <v>7</v>
      </c>
      <c r="N2" s="73"/>
      <c r="O2" s="73"/>
      <c r="P2" s="74" t="s">
        <v>8</v>
      </c>
      <c r="Q2" s="74"/>
      <c r="R2" s="74"/>
      <c r="S2" s="72" t="s">
        <v>9</v>
      </c>
      <c r="T2" s="72"/>
      <c r="U2" s="72"/>
      <c r="V2" s="72" t="s">
        <v>10</v>
      </c>
      <c r="W2" s="72"/>
      <c r="X2" s="72"/>
    </row>
    <row r="3" spans="1:27">
      <c r="A3" s="13">
        <v>7</v>
      </c>
      <c r="B3" s="14">
        <v>4</v>
      </c>
      <c r="C3" s="15">
        <v>3</v>
      </c>
      <c r="E3" s="21" t="str">
        <f t="array" ref="E3:H6">pfCorrelation(A3:C12)</f>
        <v/>
      </c>
      <c r="F3" s="62" t="str">
        <v>Thickness</v>
      </c>
      <c r="G3" s="62" t="str">
        <v>Hdisp</v>
      </c>
      <c r="H3" s="63" t="str">
        <v>Vdisp</v>
      </c>
      <c r="J3" s="35">
        <f t="array" ref="J3:R5">pfIterateHouseholder(F4:H6,10)</f>
        <v>0.99999990048201726</v>
      </c>
      <c r="K3" s="36">
        <v>-4.4613445886629261E-4</v>
      </c>
      <c r="L3" s="37">
        <v>-9.7105289548342698E-9</v>
      </c>
      <c r="M3" s="38">
        <v>1.76877357231855</v>
      </c>
      <c r="N3" s="39">
        <v>1.2027116042512172E-3</v>
      </c>
      <c r="O3" s="40">
        <v>-3.9000905514562833E-8</v>
      </c>
      <c r="P3" s="38">
        <v>0.64219352498327076</v>
      </c>
      <c r="Q3" s="39">
        <v>-0.38437107793487074</v>
      </c>
      <c r="R3" s="40">
        <v>-0.6632091306041763</v>
      </c>
      <c r="S3" s="53">
        <f t="array" ref="S3:U5">pfmmult(J3:L5,M3:O5)</f>
        <v>1.7687733962937719</v>
      </c>
      <c r="T3" s="54">
        <v>7.8911084101149741E-4</v>
      </c>
      <c r="U3" s="55">
        <v>-1.7686854391065686E-8</v>
      </c>
    </row>
    <row r="4" spans="1:27">
      <c r="A4" s="16">
        <v>4</v>
      </c>
      <c r="B4" s="12">
        <v>1</v>
      </c>
      <c r="C4" s="17">
        <v>8</v>
      </c>
      <c r="E4" s="64" t="str">
        <v>Thickness</v>
      </c>
      <c r="F4" s="31">
        <v>1</v>
      </c>
      <c r="G4" s="31">
        <v>0.66865731507053883</v>
      </c>
      <c r="H4" s="32">
        <v>-0.10131373970455887</v>
      </c>
      <c r="J4" s="41">
        <v>4.4613445885990921E-4</v>
      </c>
      <c r="K4" s="42">
        <v>0.99999989950610046</v>
      </c>
      <c r="L4" s="43">
        <v>4.4179572483648471E-5</v>
      </c>
      <c r="M4" s="44">
        <v>4.7946904738115853E-13</v>
      </c>
      <c r="N4" s="45">
        <v>0.9270762106099586</v>
      </c>
      <c r="O4" s="46">
        <v>-5.4395045333424924E-5</v>
      </c>
      <c r="P4" s="44">
        <v>0.68640928431359349</v>
      </c>
      <c r="Q4" s="45">
        <v>-9.6777500995674226E-2</v>
      </c>
      <c r="R4" s="46">
        <v>0.72074711911261358</v>
      </c>
      <c r="S4" s="56">
        <v>7.8911084101151378E-4</v>
      </c>
      <c r="T4" s="57">
        <v>0.92707665401554584</v>
      </c>
      <c r="U4" s="58">
        <v>-4.0957842611501339E-5</v>
      </c>
    </row>
    <row r="5" spans="1:27" ht="15" thickBot="1">
      <c r="A5" s="16">
        <v>6</v>
      </c>
      <c r="B5" s="12">
        <v>3</v>
      </c>
      <c r="C5" s="17">
        <v>5</v>
      </c>
      <c r="E5" s="64" t="str">
        <v>Hdisp</v>
      </c>
      <c r="F5" s="31">
        <v>0.66865731507053883</v>
      </c>
      <c r="G5" s="31">
        <v>1</v>
      </c>
      <c r="H5" s="32">
        <v>-0.28792771037232723</v>
      </c>
      <c r="J5" s="47">
        <v>-9.9995016839513116E-9</v>
      </c>
      <c r="K5" s="48">
        <v>-4.4179572419188125E-5</v>
      </c>
      <c r="L5" s="49">
        <v>0.99999999902408265</v>
      </c>
      <c r="M5" s="50">
        <v>1.0436083403339419E-17</v>
      </c>
      <c r="N5" s="51">
        <v>1.0587911840678754E-22</v>
      </c>
      <c r="O5" s="52">
        <v>0.30414994758436287</v>
      </c>
      <c r="P5" s="50">
        <v>-0.34121806938915317</v>
      </c>
      <c r="Q5" s="51">
        <v>-0.91809203773272374</v>
      </c>
      <c r="R5" s="52">
        <v>0.20168599201263451</v>
      </c>
      <c r="S5" s="59">
        <v>-1.7686854325674574E-8</v>
      </c>
      <c r="T5" s="60">
        <v>-4.0957842611265878E-5</v>
      </c>
      <c r="U5" s="61">
        <v>0.30414994969068787</v>
      </c>
    </row>
    <row r="6" spans="1:27" ht="15" thickBot="1">
      <c r="A6" s="16">
        <v>8</v>
      </c>
      <c r="B6" s="12">
        <v>6</v>
      </c>
      <c r="C6" s="17">
        <v>1</v>
      </c>
      <c r="E6" s="65" t="str">
        <v>Vdisp</v>
      </c>
      <c r="F6" s="33">
        <v>-0.10131373970455887</v>
      </c>
      <c r="G6" s="33">
        <v>-0.28792771037232723</v>
      </c>
      <c r="H6" s="34">
        <v>1</v>
      </c>
    </row>
    <row r="7" spans="1:27">
      <c r="A7" s="16">
        <v>8</v>
      </c>
      <c r="B7" s="12">
        <v>5</v>
      </c>
      <c r="C7" s="17">
        <v>7</v>
      </c>
      <c r="E7" s="25"/>
      <c r="F7" s="25"/>
      <c r="G7" s="25"/>
      <c r="H7" s="25"/>
      <c r="J7" t="s">
        <v>11</v>
      </c>
    </row>
    <row r="8" spans="1:27">
      <c r="A8" s="16">
        <v>7</v>
      </c>
      <c r="B8" s="12">
        <v>2</v>
      </c>
      <c r="C8" s="17">
        <v>9</v>
      </c>
      <c r="E8" s="72" t="s">
        <v>12</v>
      </c>
      <c r="F8" s="72"/>
      <c r="G8" s="72"/>
      <c r="H8" s="72"/>
      <c r="J8" t="s">
        <v>13</v>
      </c>
    </row>
    <row r="9" spans="1:27" ht="15" thickBot="1">
      <c r="A9" s="16">
        <v>5</v>
      </c>
      <c r="B9" s="12">
        <v>3</v>
      </c>
      <c r="C9" s="17">
        <v>3</v>
      </c>
      <c r="J9" s="10" t="s">
        <v>14</v>
      </c>
      <c r="K9" s="10"/>
      <c r="L9" s="10"/>
      <c r="M9" s="10"/>
      <c r="N9" s="10"/>
      <c r="O9" s="10"/>
      <c r="P9">
        <f>P3*Q3+P4*Q4+P5*Q5</f>
        <v>6.106226635438361E-16</v>
      </c>
      <c r="T9" s="10"/>
      <c r="U9" s="10"/>
      <c r="V9" s="10"/>
      <c r="W9" s="10"/>
      <c r="X9" s="10"/>
      <c r="Y9" s="66"/>
      <c r="Z9" s="66"/>
      <c r="AA9" s="66"/>
    </row>
    <row r="10" spans="1:27">
      <c r="A10" s="16">
        <v>9</v>
      </c>
      <c r="B10" s="12">
        <v>5</v>
      </c>
      <c r="C10" s="17">
        <v>8</v>
      </c>
      <c r="E10" s="21" t="str">
        <f t="array" ref="E10:H13">pfCovariance(A3:C12)</f>
        <v/>
      </c>
      <c r="F10" s="22" t="str">
        <v>Thickness</v>
      </c>
      <c r="G10" s="22" t="str">
        <v>Hdisp</v>
      </c>
      <c r="H10" s="23" t="str">
        <v>Vdisp</v>
      </c>
      <c r="J10" s="69" t="s">
        <v>15</v>
      </c>
      <c r="K10" s="70">
        <f>M3/3</f>
        <v>0.58959119077285005</v>
      </c>
      <c r="L10" s="71">
        <f>K10</f>
        <v>0.58959119077285005</v>
      </c>
    </row>
    <row r="11" spans="1:27">
      <c r="A11" s="16">
        <v>7</v>
      </c>
      <c r="B11" s="12">
        <v>4</v>
      </c>
      <c r="C11" s="17">
        <v>5</v>
      </c>
      <c r="E11" s="24" t="str">
        <v>Thickness</v>
      </c>
      <c r="F11" s="25">
        <v>1</v>
      </c>
      <c r="G11" s="25">
        <v>1.45</v>
      </c>
      <c r="H11" s="26">
        <v>-0.38999999999999985</v>
      </c>
      <c r="J11" s="69" t="s">
        <v>16</v>
      </c>
      <c r="K11" s="70">
        <f>N4/3</f>
        <v>0.30902540353665287</v>
      </c>
      <c r="L11" s="71">
        <f>K11+L10</f>
        <v>0.89861659430950291</v>
      </c>
      <c r="P11" s="2"/>
      <c r="Q11" s="2"/>
      <c r="R11" s="2"/>
    </row>
    <row r="12" spans="1:27" ht="15" thickBot="1">
      <c r="A12" s="18">
        <v>8</v>
      </c>
      <c r="B12" s="19">
        <v>2</v>
      </c>
      <c r="C12" s="20">
        <v>2</v>
      </c>
      <c r="E12" s="24" t="str">
        <v>Hdisp</v>
      </c>
      <c r="F12" s="25">
        <v>1.45</v>
      </c>
      <c r="G12" s="25">
        <v>1</v>
      </c>
      <c r="H12" s="26">
        <v>-1.1499999999999999</v>
      </c>
      <c r="J12" s="69" t="s">
        <v>17</v>
      </c>
      <c r="K12" s="70">
        <f>O5/3</f>
        <v>0.10138331586145428</v>
      </c>
      <c r="L12" s="71">
        <f>K12+L11</f>
        <v>0.99999991017095724</v>
      </c>
      <c r="M12" s="30"/>
      <c r="N12" s="30"/>
      <c r="O12" s="30"/>
      <c r="Q12" s="2"/>
    </row>
    <row r="13" spans="1:27" ht="15" thickBot="1">
      <c r="A13" s="30">
        <f>AVERAGE(A3:A12)</f>
        <v>6.9</v>
      </c>
      <c r="B13" s="30">
        <f>AVERAGE(B3:B12)</f>
        <v>3.5</v>
      </c>
      <c r="C13" s="30">
        <f>AVERAGE(C3:C12)</f>
        <v>5.0999999999999996</v>
      </c>
      <c r="E13" s="27" t="str">
        <v>Vdisp</v>
      </c>
      <c r="F13" s="28">
        <v>-0.38999999999999985</v>
      </c>
      <c r="G13" s="28">
        <v>-1.1499999999999999</v>
      </c>
      <c r="H13" s="29">
        <v>1</v>
      </c>
      <c r="M13" s="30"/>
      <c r="N13" s="30"/>
      <c r="O13" s="30"/>
    </row>
    <row r="14" spans="1:27">
      <c r="A14">
        <f>_xlfn.STDEV.P(A3:A12)</f>
        <v>1.4456832294800961</v>
      </c>
      <c r="B14">
        <f>_xlfn.STDEV.P(B3:B12)</f>
        <v>1.5</v>
      </c>
      <c r="C14">
        <f>_xlfn.STDEV.P(C3:C12)</f>
        <v>2.6627053911388696</v>
      </c>
      <c r="M14" s="30"/>
      <c r="N14" s="30"/>
      <c r="O14" s="30"/>
      <c r="W14" s="10"/>
      <c r="X14" s="10"/>
      <c r="Y14" s="10"/>
      <c r="Z14" s="10"/>
      <c r="AA14" s="10"/>
    </row>
    <row r="15" spans="1:27">
      <c r="A15" s="30"/>
      <c r="B15" s="30"/>
      <c r="W15" s="10"/>
      <c r="X15" s="10"/>
      <c r="Y15" s="10"/>
      <c r="Z15" s="10"/>
      <c r="AA15" s="10"/>
    </row>
    <row r="16" spans="1:27">
      <c r="A16" s="30"/>
      <c r="B16" s="30"/>
    </row>
    <row r="17" spans="1:2">
      <c r="A17" s="30"/>
      <c r="B17" s="30"/>
    </row>
    <row r="18" spans="1:2">
      <c r="A18" s="30"/>
      <c r="B18" s="30"/>
    </row>
    <row r="19" spans="1:2">
      <c r="A19" s="30"/>
      <c r="B19" s="30"/>
    </row>
    <row r="20" spans="1:2">
      <c r="A20" s="30"/>
      <c r="B20" s="30"/>
    </row>
    <row r="21" spans="1:2">
      <c r="A21" s="30"/>
      <c r="B21" s="30"/>
    </row>
    <row r="22" spans="1:2">
      <c r="A22" s="30"/>
      <c r="B22" s="30"/>
    </row>
    <row r="23" spans="1:2">
      <c r="A23" s="30"/>
      <c r="B23" s="30"/>
    </row>
    <row r="24" spans="1:2">
      <c r="A24" s="30"/>
      <c r="B24" s="30"/>
    </row>
  </sheetData>
  <mergeCells count="8">
    <mergeCell ref="V2:X2"/>
    <mergeCell ref="A1:C1"/>
    <mergeCell ref="E1:H1"/>
    <mergeCell ref="E8:H8"/>
    <mergeCell ref="J2:L2"/>
    <mergeCell ref="M2:O2"/>
    <mergeCell ref="S2:U2"/>
    <mergeCell ref="P2:R2"/>
  </mergeCells>
  <pageMargins left="0.7" right="0.7" top="0.75" bottom="0.75" header="0.3" footer="0.3"/>
  <pageSetup orientation="portrait" horizontalDpi="0" verticalDpi="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9"/>
  <sheetViews>
    <sheetView tabSelected="1" workbookViewId="0">
      <selection activeCell="E2" sqref="E2"/>
    </sheetView>
  </sheetViews>
  <sheetFormatPr defaultRowHeight="14.4"/>
  <cols>
    <col min="9" max="11" width="9.109375" bestFit="1" customWidth="1"/>
  </cols>
  <sheetData>
    <row r="1" spans="1:15" ht="20.399999999999999" thickBot="1">
      <c r="A1" s="75" t="s">
        <v>18</v>
      </c>
      <c r="B1" s="75"/>
      <c r="C1" s="75"/>
      <c r="E1" s="75" t="s">
        <v>19</v>
      </c>
      <c r="F1" s="75"/>
      <c r="G1" s="75"/>
      <c r="I1" s="75" t="s">
        <v>20</v>
      </c>
      <c r="J1" s="75"/>
      <c r="K1" s="75"/>
      <c r="M1" s="75" t="s">
        <v>21</v>
      </c>
      <c r="N1" s="75"/>
      <c r="O1" s="75"/>
    </row>
    <row r="2" spans="1:15" ht="15" thickTop="1">
      <c r="A2">
        <v>4</v>
      </c>
      <c r="B2">
        <v>3</v>
      </c>
      <c r="C2">
        <v>7</v>
      </c>
      <c r="E2">
        <f t="array" ref="E2:G4">pfmtrans(A2:C4)</f>
        <v>4</v>
      </c>
      <c r="F2">
        <v>7</v>
      </c>
      <c r="G2">
        <v>3</v>
      </c>
      <c r="I2" s="67">
        <f t="array" ref="I2:K4">pfmInverse(A2:C4)</f>
        <v>-6.3829787234042923E-2</v>
      </c>
      <c r="J2" s="67">
        <v>-8.5106382978723527E-2</v>
      </c>
      <c r="K2" s="67">
        <v>0.61702127659574457</v>
      </c>
      <c r="M2" s="67">
        <f t="array" ref="M2:O4">pfmmult(A2:C4,I2:K4)</f>
        <v>1</v>
      </c>
      <c r="N2" s="67">
        <v>0</v>
      </c>
      <c r="O2" s="67">
        <v>-1.6653345369377348E-16</v>
      </c>
    </row>
    <row r="3" spans="1:15">
      <c r="A3">
        <v>7</v>
      </c>
      <c r="B3">
        <v>5</v>
      </c>
      <c r="C3">
        <v>2</v>
      </c>
      <c r="E3">
        <v>3</v>
      </c>
      <c r="F3">
        <v>5</v>
      </c>
      <c r="G3">
        <v>1</v>
      </c>
      <c r="I3" s="67">
        <v>2.1276595744681437E-2</v>
      </c>
      <c r="J3" s="67">
        <v>0.36170212765957466</v>
      </c>
      <c r="K3" s="67">
        <v>-0.87234042553191493</v>
      </c>
      <c r="M3" s="67">
        <v>2.7755575615628914E-16</v>
      </c>
      <c r="N3" s="67">
        <v>1</v>
      </c>
      <c r="O3" s="67">
        <v>-1.0616507672978059E-15</v>
      </c>
    </row>
    <row r="4" spans="1:15">
      <c r="A4">
        <v>3</v>
      </c>
      <c r="B4">
        <v>1</v>
      </c>
      <c r="C4">
        <v>1</v>
      </c>
      <c r="E4">
        <v>7</v>
      </c>
      <c r="F4">
        <v>2</v>
      </c>
      <c r="G4">
        <v>1</v>
      </c>
      <c r="I4" s="67">
        <v>0.17021276595744678</v>
      </c>
      <c r="J4" s="67">
        <v>-0.10638297872340427</v>
      </c>
      <c r="K4" s="67">
        <v>2.1276595744680906E-2</v>
      </c>
      <c r="M4" s="67">
        <v>-5.5511151231257827E-16</v>
      </c>
      <c r="N4" s="67">
        <v>-1.9428902930940239E-16</v>
      </c>
      <c r="O4" s="67">
        <v>0.99999999999999967</v>
      </c>
    </row>
    <row r="6" spans="1:15">
      <c r="A6" s="76">
        <f>G2</f>
        <v>3</v>
      </c>
      <c r="B6" s="76"/>
      <c r="C6" s="76"/>
    </row>
    <row r="8" spans="1:15">
      <c r="A8">
        <v>3</v>
      </c>
      <c r="B8">
        <v>3</v>
      </c>
      <c r="C8">
        <v>3</v>
      </c>
      <c r="E8">
        <f t="array" ref="E8:E10">pfmtrans(A8:C8)</f>
        <v>3</v>
      </c>
      <c r="G8">
        <f t="array" ref="G8:I8">pfmtrans(E8:E10)</f>
        <v>3</v>
      </c>
      <c r="H8">
        <v>3</v>
      </c>
      <c r="I8">
        <v>3</v>
      </c>
    </row>
    <row r="9" spans="1:15">
      <c r="E9">
        <v>3</v>
      </c>
    </row>
    <row r="10" spans="1:15">
      <c r="E10">
        <v>3</v>
      </c>
    </row>
    <row r="12" spans="1:15">
      <c r="A12">
        <v>1</v>
      </c>
      <c r="C12">
        <v>4</v>
      </c>
      <c r="D12">
        <v>5</v>
      </c>
      <c r="E12">
        <v>6</v>
      </c>
      <c r="G12">
        <f t="array" ref="G12:I14">MMULT(A12:A14,C12:E12)</f>
        <v>4</v>
      </c>
      <c r="H12">
        <v>5</v>
      </c>
      <c r="I12">
        <v>6</v>
      </c>
      <c r="K12">
        <f t="array" ref="K12:M14">pfmmult(A12:A14,C12:E12)</f>
        <v>4</v>
      </c>
      <c r="L12">
        <v>5</v>
      </c>
      <c r="M12">
        <v>6</v>
      </c>
    </row>
    <row r="13" spans="1:15">
      <c r="A13">
        <v>2</v>
      </c>
      <c r="G13">
        <v>8</v>
      </c>
      <c r="H13">
        <v>10</v>
      </c>
      <c r="I13">
        <v>12</v>
      </c>
      <c r="K13">
        <v>8</v>
      </c>
      <c r="L13">
        <v>10</v>
      </c>
      <c r="M13">
        <v>12</v>
      </c>
    </row>
    <row r="14" spans="1:15">
      <c r="A14">
        <v>3</v>
      </c>
      <c r="G14">
        <v>12</v>
      </c>
      <c r="H14">
        <v>15</v>
      </c>
      <c r="I14">
        <v>18</v>
      </c>
      <c r="K14">
        <v>12</v>
      </c>
      <c r="L14">
        <v>15</v>
      </c>
      <c r="M14">
        <v>18</v>
      </c>
    </row>
    <row r="17" spans="1:9">
      <c r="A17">
        <v>1</v>
      </c>
      <c r="B17">
        <v>2</v>
      </c>
      <c r="C17">
        <v>3</v>
      </c>
      <c r="E17">
        <v>3</v>
      </c>
      <c r="G17">
        <f t="array" ref="G17:G19">MMULT(A17:C19,E17:E19)</f>
        <v>10</v>
      </c>
      <c r="I17">
        <f t="array" ref="I17:I19">pfmmult(A17:C19,E17:E19)</f>
        <v>10</v>
      </c>
    </row>
    <row r="18" spans="1:9">
      <c r="A18">
        <v>4</v>
      </c>
      <c r="B18">
        <v>5</v>
      </c>
      <c r="C18">
        <v>6</v>
      </c>
      <c r="E18">
        <v>2</v>
      </c>
      <c r="G18">
        <v>28</v>
      </c>
      <c r="I18">
        <v>28</v>
      </c>
    </row>
    <row r="19" spans="1:9">
      <c r="A19">
        <v>7</v>
      </c>
      <c r="B19">
        <v>8</v>
      </c>
      <c r="C19">
        <v>9</v>
      </c>
      <c r="E19">
        <v>1</v>
      </c>
      <c r="G19">
        <v>46</v>
      </c>
      <c r="I19">
        <v>46</v>
      </c>
    </row>
  </sheetData>
  <mergeCells count="5">
    <mergeCell ref="A1:C1"/>
    <mergeCell ref="E1:G1"/>
    <mergeCell ref="I1:K1"/>
    <mergeCell ref="M1:O1"/>
    <mergeCell ref="A6:C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"/>
  <sheetViews>
    <sheetView workbookViewId="0">
      <selection activeCell="D12" sqref="D12"/>
    </sheetView>
  </sheetViews>
  <sheetFormatPr defaultRowHeight="14.4"/>
  <cols>
    <col min="4" max="4" width="9.5546875" bestFit="1" customWidth="1"/>
    <col min="5" max="6" width="10.33203125" bestFit="1" customWidth="1"/>
    <col min="7" max="7" width="12.88671875" bestFit="1" customWidth="1"/>
    <col min="8" max="8" width="13" bestFit="1" customWidth="1"/>
    <col min="9" max="9" width="9.5546875" bestFit="1" customWidth="1"/>
    <col min="14" max="16" width="9.33203125" bestFit="1" customWidth="1"/>
    <col min="17" max="17" width="12.6640625" bestFit="1" customWidth="1"/>
    <col min="18" max="19" width="9.33203125" bestFit="1" customWidth="1"/>
  </cols>
  <sheetData>
    <row r="1" spans="1:15">
      <c r="A1" s="77" t="s">
        <v>22</v>
      </c>
      <c r="B1" s="77"/>
      <c r="C1" s="77"/>
      <c r="D1" s="77" t="s">
        <v>6</v>
      </c>
      <c r="E1" s="77"/>
      <c r="F1" s="77"/>
      <c r="G1" s="78" t="s">
        <v>23</v>
      </c>
      <c r="H1" s="78"/>
      <c r="I1" s="78"/>
      <c r="J1" s="79" t="s">
        <v>24</v>
      </c>
      <c r="K1" s="79"/>
      <c r="L1" s="79"/>
    </row>
    <row r="2" spans="1:15">
      <c r="A2" s="1">
        <v>12</v>
      </c>
      <c r="B2" s="1">
        <v>-51</v>
      </c>
      <c r="C2" s="1">
        <v>4</v>
      </c>
      <c r="D2" s="4">
        <f t="array" ref="D2:I4">pfhouseholder(A2:C4)</f>
        <v>0.8571428571428571</v>
      </c>
      <c r="E2" s="4">
        <v>-0.39428571428571441</v>
      </c>
      <c r="F2" s="4">
        <v>0.33142857142857141</v>
      </c>
      <c r="G2" s="3">
        <v>13.999999999999998</v>
      </c>
      <c r="H2" s="3">
        <v>21.000000000000011</v>
      </c>
      <c r="I2" s="5">
        <v>-14.000000000000004</v>
      </c>
      <c r="J2" s="6" t="e">
        <f t="array" aca="1" ref="J2:L4" ca="1">fmult(D2:F4,G2:I4)</f>
        <v>#NAME?</v>
      </c>
      <c r="K2" s="6" t="e">
        <f ca="1"/>
        <v>#NAME?</v>
      </c>
      <c r="L2" s="6" t="e">
        <f ca="1"/>
        <v>#NAME?</v>
      </c>
    </row>
    <row r="3" spans="1:15">
      <c r="A3" s="1">
        <v>6</v>
      </c>
      <c r="B3" s="1">
        <v>167</v>
      </c>
      <c r="C3" s="1">
        <v>-68</v>
      </c>
      <c r="D3" s="4">
        <v>0.4285714285714286</v>
      </c>
      <c r="E3" s="4">
        <v>0.90285714285714291</v>
      </c>
      <c r="F3" s="4">
        <v>-3.4285714285714308E-2</v>
      </c>
      <c r="G3" s="3">
        <v>5.5067062021407774E-16</v>
      </c>
      <c r="H3" s="3">
        <v>175.00000000000006</v>
      </c>
      <c r="I3" s="5">
        <v>-70</v>
      </c>
      <c r="J3" s="6" t="e">
        <f ca="1"/>
        <v>#NAME?</v>
      </c>
      <c r="K3" s="6" t="e">
        <f ca="1"/>
        <v>#NAME?</v>
      </c>
      <c r="L3" s="6" t="e">
        <f ca="1"/>
        <v>#NAME?</v>
      </c>
    </row>
    <row r="4" spans="1:15">
      <c r="A4" s="1">
        <v>-4</v>
      </c>
      <c r="B4" s="1">
        <v>24</v>
      </c>
      <c r="C4" s="1">
        <v>-41</v>
      </c>
      <c r="D4" s="4">
        <v>-0.28571428571428575</v>
      </c>
      <c r="E4" s="4">
        <v>0.17142857142857107</v>
      </c>
      <c r="F4" s="4">
        <v>0.94285714285714284</v>
      </c>
      <c r="G4" s="3">
        <v>-3.0198066269804255E-16</v>
      </c>
      <c r="H4" s="3">
        <v>0</v>
      </c>
      <c r="I4" s="5">
        <v>-35</v>
      </c>
      <c r="J4" s="6" t="e">
        <f ca="1"/>
        <v>#NAME?</v>
      </c>
      <c r="K4" s="6" t="e">
        <f ca="1"/>
        <v>#NAME?</v>
      </c>
      <c r="L4" s="6" t="e">
        <f ca="1"/>
        <v>#NAME?</v>
      </c>
    </row>
    <row r="5" spans="1:15">
      <c r="D5" s="2"/>
      <c r="E5" s="2"/>
      <c r="F5" s="2"/>
      <c r="G5" s="2"/>
      <c r="H5" s="2"/>
      <c r="I5" s="2"/>
    </row>
    <row r="6" spans="1:15">
      <c r="D6" s="2"/>
      <c r="E6" s="2"/>
      <c r="F6" s="2"/>
      <c r="G6" s="2"/>
      <c r="H6" s="2"/>
      <c r="I6" s="2"/>
    </row>
    <row r="7" spans="1:15">
      <c r="A7" s="1">
        <v>12</v>
      </c>
      <c r="B7" s="1">
        <v>-51</v>
      </c>
      <c r="C7" s="1">
        <v>4</v>
      </c>
      <c r="D7" s="4">
        <f t="array" ref="D7:L9">pfIterateHouseholder(A7:C9,10)</f>
        <v>0.99999999999985101</v>
      </c>
      <c r="E7" s="4">
        <v>5.4585945426771082E-7</v>
      </c>
      <c r="F7" s="4">
        <v>2.8243997979355861E-9</v>
      </c>
      <c r="G7" s="3">
        <v>156.13665632181127</v>
      </c>
      <c r="H7" s="3">
        <v>-61.910551631442246</v>
      </c>
      <c r="I7" s="3">
        <v>87.715564211394735</v>
      </c>
      <c r="J7" s="7">
        <v>-0.32814745989515071</v>
      </c>
      <c r="K7" s="7">
        <v>0.37372674628218172</v>
      </c>
      <c r="L7" s="7">
        <v>0.86755262876536443</v>
      </c>
    </row>
    <row r="8" spans="1:15">
      <c r="A8" s="1">
        <v>6</v>
      </c>
      <c r="B8" s="1">
        <v>167</v>
      </c>
      <c r="C8" s="1">
        <v>-68</v>
      </c>
      <c r="D8" s="4">
        <v>-5.458665545507234E-7</v>
      </c>
      <c r="E8" s="4">
        <v>0.99998173241079558</v>
      </c>
      <c r="F8" s="4">
        <v>6.0444060424300478E-3</v>
      </c>
      <c r="G8" s="3">
        <v>-5.6128711593132171E-8</v>
      </c>
      <c r="H8" s="3">
        <v>-34.131456142416688</v>
      </c>
      <c r="I8" s="3">
        <v>15.92299019601484</v>
      </c>
      <c r="J8" s="7">
        <v>0.93688135887621815</v>
      </c>
      <c r="K8" s="7">
        <v>1.1395617543989281E-2</v>
      </c>
      <c r="L8" s="7">
        <v>0.3494616707037298</v>
      </c>
    </row>
    <row r="9" spans="1:15">
      <c r="A9" s="1">
        <v>-4</v>
      </c>
      <c r="B9" s="1">
        <v>24</v>
      </c>
      <c r="C9" s="1">
        <v>-41</v>
      </c>
      <c r="D9" s="4">
        <v>4.7504798073299072E-10</v>
      </c>
      <c r="E9" s="4">
        <v>-6.0444060424306861E-3</v>
      </c>
      <c r="F9" s="4">
        <v>0.99998173241094457</v>
      </c>
      <c r="G9" s="3">
        <v>-2.9042259952187473E-10</v>
      </c>
      <c r="H9" s="3">
        <v>0</v>
      </c>
      <c r="I9" s="3">
        <v>16.090681440750924</v>
      </c>
      <c r="J9" s="7">
        <v>0.120716875185747</v>
      </c>
      <c r="K9" s="7">
        <v>0.927468845306475</v>
      </c>
      <c r="L9" s="7">
        <v>-0.35387706485623399</v>
      </c>
    </row>
    <row r="10" spans="1:15">
      <c r="D10" s="2"/>
      <c r="E10" s="2"/>
      <c r="F10" s="2"/>
      <c r="G10" s="2"/>
      <c r="H10" s="2"/>
      <c r="I10" s="2"/>
    </row>
    <row r="11" spans="1:15">
      <c r="A11" s="79" t="s">
        <v>22</v>
      </c>
      <c r="B11" s="79"/>
      <c r="C11" s="79"/>
      <c r="D11" s="72" t="s">
        <v>6</v>
      </c>
      <c r="E11" s="72"/>
      <c r="F11" s="72"/>
      <c r="G11" s="72" t="s">
        <v>7</v>
      </c>
      <c r="H11" s="72"/>
      <c r="I11" s="72"/>
      <c r="J11" s="72" t="s">
        <v>8</v>
      </c>
      <c r="K11" s="72"/>
      <c r="L11" s="72"/>
      <c r="M11" s="72" t="s">
        <v>24</v>
      </c>
      <c r="N11" s="72"/>
      <c r="O11" s="72"/>
    </row>
    <row r="12" spans="1:15">
      <c r="A12" s="8">
        <v>2</v>
      </c>
      <c r="B12" s="8">
        <v>1</v>
      </c>
      <c r="C12" s="8">
        <v>1</v>
      </c>
      <c r="D12" s="4">
        <f t="array" ref="D12:L14">pfIterateHouseholder(A12:C14,10)</f>
        <v>0.99999999999948841</v>
      </c>
      <c r="E12" s="4">
        <v>-8.7600697285362619E-7</v>
      </c>
      <c r="F12" s="4">
        <v>-5.0576286158903915E-7</v>
      </c>
      <c r="G12" s="3">
        <v>3.9999999999965921</v>
      </c>
      <c r="H12" s="3">
        <v>4.380025449674111E-6</v>
      </c>
      <c r="I12" s="3">
        <v>2.5288088723889493E-6</v>
      </c>
      <c r="J12" s="3">
        <v>0.5773505444890652</v>
      </c>
      <c r="K12" s="3">
        <v>-0.7071066126006964</v>
      </c>
      <c r="L12" s="5">
        <v>-0.40824819313078436</v>
      </c>
      <c r="M12" s="9">
        <f t="array" ref="M12:O14">pfmmult(D12:F14,G12:I14)</f>
        <v>3.9999999999945457</v>
      </c>
      <c r="N12" s="9">
        <v>3.5040184768176819E-6</v>
      </c>
      <c r="O12" s="9">
        <v>2.0230460107978591E-6</v>
      </c>
    </row>
    <row r="13" spans="1:15">
      <c r="A13" s="8">
        <v>1</v>
      </c>
      <c r="B13" s="8">
        <v>2</v>
      </c>
      <c r="C13" s="8">
        <v>1</v>
      </c>
      <c r="D13" s="4">
        <v>8.7600697285343889E-7</v>
      </c>
      <c r="E13" s="4">
        <v>0.9999999999996162</v>
      </c>
      <c r="F13" s="4">
        <v>-5.9235949478875227E-13</v>
      </c>
      <c r="G13" s="3">
        <v>-9.414842022930356E-12</v>
      </c>
      <c r="H13" s="3">
        <v>1.0000000000006419</v>
      </c>
      <c r="I13" s="3">
        <v>7.4112938008852325E-13</v>
      </c>
      <c r="J13" s="3">
        <v>0.57735013153985693</v>
      </c>
      <c r="K13" s="3">
        <v>0.7071069497723399</v>
      </c>
      <c r="L13" s="5">
        <v>-0.40824819313080635</v>
      </c>
      <c r="M13" s="9">
        <v>3.5040184765687474E-6</v>
      </c>
      <c r="N13" s="9">
        <v>1.0000000000040949</v>
      </c>
      <c r="O13" s="9">
        <v>2.3640240905257215E-12</v>
      </c>
    </row>
    <row r="14" spans="1:15">
      <c r="A14" s="8">
        <v>1</v>
      </c>
      <c r="B14" s="8">
        <v>1</v>
      </c>
      <c r="C14" s="8">
        <v>2</v>
      </c>
      <c r="D14" s="4">
        <v>5.0576286158936399E-7</v>
      </c>
      <c r="E14" s="4">
        <v>1.4904744105592727E-13</v>
      </c>
      <c r="F14" s="4">
        <v>0.9999999999998721</v>
      </c>
      <c r="G14" s="3">
        <v>-5.4356615764171235E-12</v>
      </c>
      <c r="H14" s="3">
        <v>0</v>
      </c>
      <c r="I14" s="3">
        <v>1.0000000000002138</v>
      </c>
      <c r="J14" s="3">
        <v>0.57735013153985704</v>
      </c>
      <c r="K14" s="3">
        <v>1.6858578223117303E-7</v>
      </c>
      <c r="L14" s="5">
        <v>0.81649667826077676</v>
      </c>
      <c r="M14" s="9">
        <v>2.023046010694156E-6</v>
      </c>
      <c r="N14" s="9">
        <v>2.3643016463174421E-12</v>
      </c>
      <c r="O14" s="9">
        <v>1.0000000000013649</v>
      </c>
    </row>
    <row r="33" spans="2:4">
      <c r="B33" s="2"/>
      <c r="C33" s="2"/>
      <c r="D33" s="2"/>
    </row>
    <row r="34" spans="2:4">
      <c r="B34" s="2"/>
      <c r="C34" s="2"/>
      <c r="D34" s="2"/>
    </row>
    <row r="35" spans="2:4">
      <c r="B35" s="2"/>
      <c r="C35" s="2"/>
      <c r="D35" s="2"/>
    </row>
  </sheetData>
  <mergeCells count="9">
    <mergeCell ref="M11:O11"/>
    <mergeCell ref="A1:C1"/>
    <mergeCell ref="D1:F1"/>
    <mergeCell ref="G1:I1"/>
    <mergeCell ref="J1:L1"/>
    <mergeCell ref="G11:I11"/>
    <mergeCell ref="J11:L11"/>
    <mergeCell ref="A11:C11"/>
    <mergeCell ref="D11:F1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32"/>
  <sheetViews>
    <sheetView workbookViewId="0">
      <selection activeCell="B27" sqref="B27"/>
    </sheetView>
  </sheetViews>
  <sheetFormatPr defaultRowHeight="14.4"/>
  <cols>
    <col min="8" max="8" width="11.5546875" bestFit="1" customWidth="1"/>
    <col min="9" max="9" width="12.109375" bestFit="1" customWidth="1"/>
    <col min="10" max="10" width="9.5546875" bestFit="1" customWidth="1"/>
    <col min="11" max="11" width="12.109375" bestFit="1" customWidth="1"/>
    <col min="12" max="12" width="9.5546875" bestFit="1" customWidth="1"/>
    <col min="13" max="13" width="10.33203125" bestFit="1" customWidth="1"/>
  </cols>
  <sheetData>
    <row r="1" spans="1:15">
      <c r="A1" t="s">
        <v>25</v>
      </c>
      <c r="B1" t="s">
        <v>26</v>
      </c>
    </row>
    <row r="2" spans="1:15">
      <c r="A2">
        <v>2.5</v>
      </c>
      <c r="B2">
        <v>2.4</v>
      </c>
      <c r="D2" t="str">
        <f t="array" ref="D2:F4">pfCorrelation(A2:B11)</f>
        <v/>
      </c>
      <c r="E2" t="str">
        <v>x</v>
      </c>
      <c r="F2" t="str">
        <v>y</v>
      </c>
      <c r="H2" s="76" t="s">
        <v>6</v>
      </c>
      <c r="I2" s="76"/>
      <c r="J2" s="76" t="s">
        <v>27</v>
      </c>
      <c r="K2" s="76"/>
      <c r="L2" s="76" t="s">
        <v>8</v>
      </c>
      <c r="M2" s="76"/>
    </row>
    <row r="3" spans="1:15">
      <c r="A3">
        <v>0.5</v>
      </c>
      <c r="B3">
        <v>0.7</v>
      </c>
      <c r="D3" t="str">
        <v>x</v>
      </c>
      <c r="E3">
        <v>1</v>
      </c>
      <c r="F3">
        <v>0.92592927269224534</v>
      </c>
      <c r="H3" s="2">
        <f t="array" ref="H3:M4">pfIterateHouseholder(E3:F4,1)</f>
        <v>0.99931699641919247</v>
      </c>
      <c r="I3" s="2">
        <v>-3.6953222697400555E-2</v>
      </c>
      <c r="J3" s="2">
        <v>1.9245085859619562</v>
      </c>
      <c r="K3" s="2">
        <v>-7.3906445394798015E-2</v>
      </c>
      <c r="L3" s="2">
        <v>0.70815192430314056</v>
      </c>
      <c r="M3" s="2">
        <v>-0.70606009100200484</v>
      </c>
    </row>
    <row r="4" spans="1:15">
      <c r="A4">
        <v>2.2000000000000002</v>
      </c>
      <c r="B4">
        <v>2.9</v>
      </c>
      <c r="D4" t="str">
        <v>y</v>
      </c>
      <c r="E4">
        <v>0.92592927269224534</v>
      </c>
      <c r="F4">
        <v>1</v>
      </c>
      <c r="H4" s="2">
        <v>-3.6953222697400555E-2</v>
      </c>
      <c r="I4" s="2">
        <v>-0.99931699641919303</v>
      </c>
      <c r="J4" s="2">
        <v>-3.1780134079895106E-15</v>
      </c>
      <c r="K4" s="2">
        <v>-7.4125406876428046E-2</v>
      </c>
      <c r="L4" s="2">
        <v>0.7060600910020044</v>
      </c>
      <c r="M4" s="2">
        <v>0.70815192430314033</v>
      </c>
    </row>
    <row r="5" spans="1:15">
      <c r="A5">
        <v>1.9</v>
      </c>
      <c r="B5">
        <v>2.2000000000000002</v>
      </c>
    </row>
    <row r="6" spans="1:15">
      <c r="A6">
        <v>3.1</v>
      </c>
      <c r="B6">
        <v>3</v>
      </c>
    </row>
    <row r="7" spans="1:15">
      <c r="A7">
        <v>2.2999999999999998</v>
      </c>
      <c r="B7">
        <v>2.7</v>
      </c>
    </row>
    <row r="8" spans="1:15">
      <c r="A8">
        <v>2</v>
      </c>
      <c r="B8">
        <v>1.6</v>
      </c>
      <c r="L8" s="76" t="s">
        <v>28</v>
      </c>
      <c r="M8" s="76"/>
      <c r="N8" s="76" t="s">
        <v>29</v>
      </c>
      <c r="O8" s="76"/>
    </row>
    <row r="9" spans="1:15">
      <c r="A9">
        <v>1</v>
      </c>
      <c r="B9">
        <v>1.1000000000000001</v>
      </c>
      <c r="D9" s="2"/>
      <c r="E9" s="2"/>
      <c r="L9">
        <v>0</v>
      </c>
      <c r="M9">
        <v>0</v>
      </c>
      <c r="N9">
        <v>0</v>
      </c>
      <c r="O9">
        <v>0</v>
      </c>
    </row>
    <row r="10" spans="1:15">
      <c r="A10">
        <v>1.5</v>
      </c>
      <c r="B10">
        <v>1.6</v>
      </c>
      <c r="D10" s="2"/>
      <c r="E10" s="2"/>
      <c r="L10">
        <f t="array" ref="L10:M10">pfmtrans(L3:L4)</f>
        <v>0.70815192430314056</v>
      </c>
      <c r="M10">
        <v>0.7060600910020044</v>
      </c>
      <c r="N10">
        <f t="array" ref="N10:O10">pfmtrans(M3:M4)</f>
        <v>-0.70606009100200484</v>
      </c>
      <c r="O10">
        <v>0.70815192430314033</v>
      </c>
    </row>
    <row r="11" spans="1:15">
      <c r="A11">
        <v>1.1000000000000001</v>
      </c>
      <c r="B11">
        <v>0.9</v>
      </c>
      <c r="D11" s="2"/>
      <c r="E11" s="2"/>
    </row>
    <row r="12" spans="1:15">
      <c r="A12" s="68">
        <f>AVERAGE(A2:A11)</f>
        <v>1.81</v>
      </c>
      <c r="B12" s="68">
        <f>AVERAGE(B2:B11)</f>
        <v>1.9099999999999997</v>
      </c>
      <c r="D12" s="2"/>
      <c r="E12" s="2"/>
    </row>
    <row r="13" spans="1:15">
      <c r="A13">
        <f t="shared" ref="A13:A22" si="0">A2-xmean</f>
        <v>0.69</v>
      </c>
      <c r="B13">
        <f t="shared" ref="B13:B22" si="1">B2-ymean</f>
        <v>0.49000000000000021</v>
      </c>
    </row>
    <row r="14" spans="1:15">
      <c r="A14">
        <f t="shared" si="0"/>
        <v>-1.31</v>
      </c>
      <c r="B14">
        <f t="shared" si="1"/>
        <v>-1.2099999999999997</v>
      </c>
    </row>
    <row r="15" spans="1:15">
      <c r="A15">
        <f t="shared" si="0"/>
        <v>0.39000000000000012</v>
      </c>
      <c r="B15">
        <f t="shared" si="1"/>
        <v>0.99000000000000021</v>
      </c>
      <c r="L15" t="s">
        <v>30</v>
      </c>
      <c r="M15">
        <f>ATAN2(L10,M10)</f>
        <v>0.78391901334573477</v>
      </c>
    </row>
    <row r="16" spans="1:15">
      <c r="A16">
        <f t="shared" si="0"/>
        <v>8.9999999999999858E-2</v>
      </c>
      <c r="B16">
        <f t="shared" si="1"/>
        <v>0.29000000000000048</v>
      </c>
      <c r="L16">
        <f>COS(M15)</f>
        <v>0.70815192430314067</v>
      </c>
      <c r="M16">
        <f>SIN(M15)</f>
        <v>0.70606009100200451</v>
      </c>
    </row>
    <row r="17" spans="1:13">
      <c r="A17">
        <f t="shared" si="0"/>
        <v>1.29</v>
      </c>
      <c r="B17">
        <f t="shared" si="1"/>
        <v>1.0900000000000003</v>
      </c>
      <c r="L17">
        <f>-SIN(M15)</f>
        <v>-0.70606009100200451</v>
      </c>
      <c r="M17">
        <f>COS(M15)</f>
        <v>0.70815192430314067</v>
      </c>
    </row>
    <row r="18" spans="1:13">
      <c r="A18">
        <f t="shared" si="0"/>
        <v>0.48999999999999977</v>
      </c>
      <c r="B18">
        <f t="shared" si="1"/>
        <v>0.79000000000000048</v>
      </c>
    </row>
    <row r="19" spans="1:13">
      <c r="A19">
        <f t="shared" si="0"/>
        <v>0.18999999999999995</v>
      </c>
      <c r="B19">
        <f t="shared" si="1"/>
        <v>-0.30999999999999961</v>
      </c>
    </row>
    <row r="20" spans="1:13">
      <c r="A20">
        <f t="shared" si="0"/>
        <v>-0.81</v>
      </c>
      <c r="B20">
        <f t="shared" si="1"/>
        <v>-0.80999999999999961</v>
      </c>
    </row>
    <row r="21" spans="1:13">
      <c r="A21">
        <f t="shared" si="0"/>
        <v>-0.31000000000000005</v>
      </c>
      <c r="B21">
        <f t="shared" si="1"/>
        <v>-0.30999999999999961</v>
      </c>
    </row>
    <row r="22" spans="1:13">
      <c r="A22">
        <f t="shared" si="0"/>
        <v>-0.71</v>
      </c>
      <c r="B22">
        <f t="shared" si="1"/>
        <v>-1.0099999999999998</v>
      </c>
    </row>
    <row r="23" spans="1:13">
      <c r="A23" s="80" t="s">
        <v>31</v>
      </c>
      <c r="B23" s="80"/>
      <c r="C23" s="76" t="s">
        <v>32</v>
      </c>
      <c r="D23" s="76"/>
      <c r="H23">
        <f t="array" ref="H23:I24">pfmmult(H3:I4,H3:I4)</f>
        <v>1</v>
      </c>
      <c r="I23">
        <v>2.0816681711721685E-17</v>
      </c>
    </row>
    <row r="24" spans="1:13">
      <c r="A24">
        <f t="array" ref="A24:B32">pfmmult(A13:B22,L3:M4)</f>
        <v>0.83459427236014916</v>
      </c>
      <c r="B24">
        <v>-0.14018701988284438</v>
      </c>
      <c r="C24">
        <f t="array" ref="C24:D24">pfmmult(A24:B24,L16:M17)</f>
        <v>0.69</v>
      </c>
      <c r="D24">
        <v>0.48999999999999977</v>
      </c>
      <c r="H24">
        <v>2.0816681711721685E-17</v>
      </c>
      <c r="I24">
        <v>1.0000000000000011</v>
      </c>
    </row>
    <row r="25" spans="1:13">
      <c r="A25">
        <v>-1.7820117309495394</v>
      </c>
      <c r="B25">
        <v>6.8074890805826738E-2</v>
      </c>
      <c r="C25">
        <f t="array" ref="C25:D25">pfmmult(A25:B25,L16:M17)</f>
        <v>-1.3100000000000005</v>
      </c>
      <c r="D25">
        <v>-1.2099999999999991</v>
      </c>
      <c r="L25">
        <f>COS(L19)</f>
        <v>1</v>
      </c>
    </row>
    <row r="26" spans="1:13">
      <c r="A26">
        <v>0.97517874057020937</v>
      </c>
      <c r="B26">
        <v>0.42570696956932713</v>
      </c>
      <c r="C26">
        <f t="array" ref="C26:D26">pfmmult(A26:B26,L16:M17)</f>
        <v>0.39000000000000024</v>
      </c>
      <c r="D26">
        <v>0.98999999999999977</v>
      </c>
    </row>
    <row r="27" spans="1:13">
      <c r="A27">
        <v>0.26849109957786416</v>
      </c>
      <c r="B27">
        <v>0.14181864985773068</v>
      </c>
      <c r="C27">
        <f t="array" ref="C27:D27">pfmmult(A27:B27,L16:M17)</f>
        <v>8.9999999999999913E-2</v>
      </c>
      <c r="D27">
        <v>0.29000000000000037</v>
      </c>
    </row>
    <row r="28" spans="1:13">
      <c r="A28">
        <v>1.6831214815432363</v>
      </c>
      <c r="B28">
        <v>-0.13893191990216314</v>
      </c>
      <c r="C28">
        <f t="array" ref="C28:D28">pfmmult(A28:B28,L16:M17)</f>
        <v>1.2900000000000003</v>
      </c>
      <c r="D28">
        <v>1.0899999999999994</v>
      </c>
    </row>
    <row r="29" spans="1:13">
      <c r="A29">
        <v>0.9047819148001226</v>
      </c>
      <c r="B29">
        <v>0.21347057560849902</v>
      </c>
      <c r="C29">
        <f t="array" ref="C29:D29">pfmmult(A29:B29,L16:M17)</f>
        <v>0.49</v>
      </c>
      <c r="D29">
        <v>0.79</v>
      </c>
    </row>
    <row r="30" spans="1:13">
      <c r="A30">
        <v>-8.4329762593024438E-2</v>
      </c>
      <c r="B30">
        <v>-0.35367851382435411</v>
      </c>
      <c r="C30">
        <f t="array" ref="C30:D30">pfmmult(A30:B30,L16:M17)</f>
        <v>0.18999999999999992</v>
      </c>
      <c r="D30">
        <v>-0.30999999999999955</v>
      </c>
    </row>
    <row r="31" spans="1:13">
      <c r="A31">
        <v>-1.1455117323971671</v>
      </c>
      <c r="B31">
        <v>-1.6943849739194938E-3</v>
      </c>
      <c r="C31">
        <f t="array" ref="C31:D31">pfmmult(A31:B31,L16:M17)</f>
        <v>-0.81000000000000016</v>
      </c>
      <c r="D31">
        <v>-0.80999999999999905</v>
      </c>
    </row>
    <row r="32" spans="1:13">
      <c r="A32">
        <v>-0.43840572474459472</v>
      </c>
      <c r="B32">
        <v>-6.4846832335169191E-4</v>
      </c>
      <c r="C32">
        <f t="array" ref="C32:D32">pfmmult(A32:B32,L16:M17)</f>
        <v>-0.31000000000000016</v>
      </c>
      <c r="D32">
        <v>-0.30999999999999939</v>
      </c>
    </row>
  </sheetData>
  <mergeCells count="7">
    <mergeCell ref="N8:O8"/>
    <mergeCell ref="A23:B23"/>
    <mergeCell ref="C23:D23"/>
    <mergeCell ref="H2:I2"/>
    <mergeCell ref="J2:K2"/>
    <mergeCell ref="L2:M2"/>
    <mergeCell ref="L8:M8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Example Steps</vt:lpstr>
      <vt:lpstr>Example Matrix Functions</vt:lpstr>
      <vt:lpstr>Illustration of Householder</vt:lpstr>
      <vt:lpstr>2D Example</vt:lpstr>
      <vt:lpstr>MA</vt:lpstr>
      <vt:lpstr>MB</vt:lpstr>
      <vt:lpstr>mycos</vt:lpstr>
      <vt:lpstr>xmean</vt:lpstr>
      <vt:lpstr>ymean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Nick Flor</dc:creator>
  <cp:keywords/>
  <dc:description/>
  <cp:lastModifiedBy>Nick Flor</cp:lastModifiedBy>
  <cp:revision/>
  <dcterms:created xsi:type="dcterms:W3CDTF">2014-10-25T22:21:55Z</dcterms:created>
  <dcterms:modified xsi:type="dcterms:W3CDTF">2017-04-18T04:25:08Z</dcterms:modified>
  <cp:category/>
  <cp:contentStatus/>
</cp:coreProperties>
</file>